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D:\DataAnalystProj\"/>
    </mc:Choice>
  </mc:AlternateContent>
  <xr:revisionPtr revIDLastSave="0" documentId="13_ncr:1_{828886A4-BD08-4564-866B-AA3AB88503F3}" xr6:coauthVersionLast="47" xr6:coauthVersionMax="47" xr10:uidLastSave="{00000000-0000-0000-0000-000000000000}"/>
  <bookViews>
    <workbookView xWindow="-120" yWindow="-120" windowWidth="38640" windowHeight="212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<sst xmlns="http://schemas.openxmlformats.org/spreadsheetml/2006/main" count="16265" uniqueCount="51">
  <si>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</si>
  <si>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</si>
  <si>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</si>
  <si>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</si>
  <si>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</si>
  <si>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</si>
  <si>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</si>
  <si>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</si>
  <si>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</si>
  <si>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</si>
  <si>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</si>
  <si>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</si>
  <si>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</si>
  <si>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</si>
  <si>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</si>
  <si>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</si>
  <si>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</si>
  <si>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</si>
  <si>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</si>
  <si>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</si>
  <si>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</si>
  <si>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</si>
  <si>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</si>
  <si>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</si>
  <si>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</si>
  <si>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</si>
  <si>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</si>
  <si>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</si>
  <si>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</si>
  <si>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</si>
  <si>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</si>
  <si>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</si>
  <si>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</si>
  <si>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</si>
  <si>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</si>
  <si>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</si>
  <si>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</si>
  <si>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</si>
  <si>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</si>
  <si>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</si>
  <si>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</si>
  <si>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</si>
  <si>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</si>
  <si>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</si>
  <si>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</si>
  <si>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Age Brackets</t>
  </si>
  <si>
    <t>More than 10 Miles</t>
  </si>
  <si>
    <t>Middle Aged</t>
  </si>
  <si>
    <t>Old</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</si>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</sst>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8" formatCode="&quot;$&quot;#,##0"/>
    <numFmt numFmtId="17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176"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
      <numFmt numFmtId="17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66666.666666666672</c:v>
                </c:pt>
                <c:pt idx="1">
                  <c:v>22500</c:v>
                </c:pt>
              </c:numCache>
            </c:numRef>
          </c:val>
          <c:extLst>
            <c:ext xmlns:c16="http://schemas.microsoft.com/office/drawing/2014/chart" uri="{C3380CC4-5D6E-409C-BE32-E72D297353CC}">
              <c16:uniqueId val="{00000000-6192-4073-8078-DF11736F4F9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35000</c:v>
                </c:pt>
                <c:pt idx="1">
                  <c:v>33333.333333333336</c:v>
                </c:pt>
              </c:numCache>
            </c:numRef>
          </c:val>
          <c:extLst>
            <c:ext xmlns:c16="http://schemas.microsoft.com/office/drawing/2014/chart" uri="{C3380CC4-5D6E-409C-BE32-E72D297353CC}">
              <c16:uniqueId val="{00000001-6192-4073-8078-DF11736F4F98}"/>
            </c:ext>
          </c:extLst>
        </c:ser>
        <c:dLbls>
          <c:showLegendKey val="0"/>
          <c:showVal val="0"/>
          <c:showCatName val="0"/>
          <c:showSerName val="0"/>
          <c:showPercent val="0"/>
          <c:showBubbleSize val="0"/>
        </c:dLbls>
        <c:gapWidth val="219"/>
        <c:overlap val="-27"/>
        <c:axId val="1577404431"/>
        <c:axId val="1577404015"/>
      </c:barChart>
      <c:catAx>
        <c:axId val="1577404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04015"/>
        <c:crosses val="autoZero"/>
        <c:auto val="1"/>
        <c:lblAlgn val="ctr"/>
        <c:lblOffset val="100"/>
        <c:noMultiLvlLbl val="0"/>
      </c:catAx>
      <c:valAx>
        <c:axId val="1577404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04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D16E-4840-947C-E13E4952271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1-D16E-4840-947C-E13E4952271E}"/>
            </c:ext>
          </c:extLst>
        </c:ser>
        <c:dLbls>
          <c:showLegendKey val="0"/>
          <c:showVal val="0"/>
          <c:showCatName val="0"/>
          <c:showSerName val="0"/>
          <c:showPercent val="0"/>
          <c:showBubbleSize val="0"/>
        </c:dLbls>
        <c:smooth val="0"/>
        <c:axId val="1668335391"/>
        <c:axId val="1668343711"/>
      </c:lineChart>
      <c:catAx>
        <c:axId val="1668335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43711"/>
        <c:crosses val="autoZero"/>
        <c:auto val="1"/>
        <c:lblAlgn val="ctr"/>
        <c:lblOffset val="100"/>
        <c:noMultiLvlLbl val="0"/>
      </c:catAx>
      <c:valAx>
        <c:axId val="166834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Aged</c:v>
                </c:pt>
                <c:pt idx="1">
                  <c:v>Old</c:v>
                </c:pt>
              </c:strCache>
            </c:strRef>
          </c:cat>
          <c:val>
            <c:numRef>
              <c:f>'Pivot Table'!$B$43:$B$45</c:f>
              <c:numCache>
                <c:formatCode>General</c:formatCode>
                <c:ptCount val="2"/>
                <c:pt idx="0">
                  <c:v>4</c:v>
                </c:pt>
                <c:pt idx="1">
                  <c:v>3</c:v>
                </c:pt>
              </c:numCache>
            </c:numRef>
          </c:val>
          <c:smooth val="0"/>
          <c:extLst>
            <c:ext xmlns:c16="http://schemas.microsoft.com/office/drawing/2014/chart" uri="{C3380CC4-5D6E-409C-BE32-E72D297353CC}">
              <c16:uniqueId val="{00000000-7334-43EF-B4CC-388F3B0C8AC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Aged</c:v>
                </c:pt>
                <c:pt idx="1">
                  <c:v>Old</c:v>
                </c:pt>
              </c:strCache>
            </c:strRef>
          </c:cat>
          <c:val>
            <c:numRef>
              <c:f>'Pivot Table'!$C$43:$C$45</c:f>
              <c:numCache>
                <c:formatCode>General</c:formatCode>
                <c:ptCount val="2"/>
                <c:pt idx="0">
                  <c:v>12</c:v>
                </c:pt>
                <c:pt idx="1">
                  <c:v>1</c:v>
                </c:pt>
              </c:numCache>
            </c:numRef>
          </c:val>
          <c:smooth val="0"/>
          <c:extLst>
            <c:ext xmlns:c16="http://schemas.microsoft.com/office/drawing/2014/chart" uri="{C3380CC4-5D6E-409C-BE32-E72D297353CC}">
              <c16:uniqueId val="{00000001-7334-43EF-B4CC-388F3B0C8AC5}"/>
            </c:ext>
          </c:extLst>
        </c:ser>
        <c:dLbls>
          <c:showLegendKey val="0"/>
          <c:showVal val="0"/>
          <c:showCatName val="0"/>
          <c:showSerName val="0"/>
          <c:showPercent val="0"/>
          <c:showBubbleSize val="0"/>
        </c:dLbls>
        <c:marker val="1"/>
        <c:smooth val="0"/>
        <c:axId val="1668334559"/>
        <c:axId val="1668328735"/>
      </c:lineChart>
      <c:catAx>
        <c:axId val="166833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28735"/>
        <c:crosses val="autoZero"/>
        <c:auto val="1"/>
        <c:lblAlgn val="ctr"/>
        <c:lblOffset val="100"/>
        <c:noMultiLvlLbl val="0"/>
      </c:catAx>
      <c:valAx>
        <c:axId val="166832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3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66666.666666666672</c:v>
                </c:pt>
                <c:pt idx="1">
                  <c:v>22500</c:v>
                </c:pt>
              </c:numCache>
            </c:numRef>
          </c:val>
          <c:extLst>
            <c:ext xmlns:c16="http://schemas.microsoft.com/office/drawing/2014/chart" uri="{C3380CC4-5D6E-409C-BE32-E72D297353CC}">
              <c16:uniqueId val="{00000000-2BBA-4E54-A61E-8A4A22DA28B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35000</c:v>
                </c:pt>
                <c:pt idx="1">
                  <c:v>33333.333333333336</c:v>
                </c:pt>
              </c:numCache>
            </c:numRef>
          </c:val>
          <c:extLst>
            <c:ext xmlns:c16="http://schemas.microsoft.com/office/drawing/2014/chart" uri="{C3380CC4-5D6E-409C-BE32-E72D297353CC}">
              <c16:uniqueId val="{00000001-2BBA-4E54-A61E-8A4A22DA28B1}"/>
            </c:ext>
          </c:extLst>
        </c:ser>
        <c:dLbls>
          <c:showLegendKey val="0"/>
          <c:showVal val="0"/>
          <c:showCatName val="0"/>
          <c:showSerName val="0"/>
          <c:showPercent val="0"/>
          <c:showBubbleSize val="0"/>
        </c:dLbls>
        <c:gapWidth val="219"/>
        <c:overlap val="-27"/>
        <c:axId val="1577404431"/>
        <c:axId val="1577404015"/>
      </c:barChart>
      <c:catAx>
        <c:axId val="1577404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04015"/>
        <c:crosses val="autoZero"/>
        <c:auto val="1"/>
        <c:lblAlgn val="ctr"/>
        <c:lblOffset val="100"/>
        <c:noMultiLvlLbl val="0"/>
      </c:catAx>
      <c:valAx>
        <c:axId val="1577404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04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120E-4D22-8470-60F05779F6A7}"/>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1-120E-4D22-8470-60F05779F6A7}"/>
            </c:ext>
          </c:extLst>
        </c:ser>
        <c:dLbls>
          <c:showLegendKey val="0"/>
          <c:showVal val="0"/>
          <c:showCatName val="0"/>
          <c:showSerName val="0"/>
          <c:showPercent val="0"/>
          <c:showBubbleSize val="0"/>
        </c:dLbls>
        <c:marker val="1"/>
        <c:smooth val="0"/>
        <c:axId val="1668335391"/>
        <c:axId val="1668343711"/>
      </c:lineChart>
      <c:catAx>
        <c:axId val="16683353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8343711"/>
        <c:crosses val="autoZero"/>
        <c:auto val="1"/>
        <c:lblAlgn val="ctr"/>
        <c:lblOffset val="100"/>
        <c:noMultiLvlLbl val="0"/>
      </c:catAx>
      <c:valAx>
        <c:axId val="16683437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83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Aged</c:v>
                </c:pt>
                <c:pt idx="1">
                  <c:v>Old</c:v>
                </c:pt>
              </c:strCache>
            </c:strRef>
          </c:cat>
          <c:val>
            <c:numRef>
              <c:f>'Pivot Table'!$B$43:$B$45</c:f>
              <c:numCache>
                <c:formatCode>General</c:formatCode>
                <c:ptCount val="2"/>
                <c:pt idx="0">
                  <c:v>4</c:v>
                </c:pt>
                <c:pt idx="1">
                  <c:v>3</c:v>
                </c:pt>
              </c:numCache>
            </c:numRef>
          </c:val>
          <c:smooth val="0"/>
          <c:extLst>
            <c:ext xmlns:c16="http://schemas.microsoft.com/office/drawing/2014/chart" uri="{C3380CC4-5D6E-409C-BE32-E72D297353CC}">
              <c16:uniqueId val="{00000000-374F-43E2-B234-7CF3A2283BC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Aged</c:v>
                </c:pt>
                <c:pt idx="1">
                  <c:v>Old</c:v>
                </c:pt>
              </c:strCache>
            </c:strRef>
          </c:cat>
          <c:val>
            <c:numRef>
              <c:f>'Pivot Table'!$C$43:$C$45</c:f>
              <c:numCache>
                <c:formatCode>General</c:formatCode>
                <c:ptCount val="2"/>
                <c:pt idx="0">
                  <c:v>12</c:v>
                </c:pt>
                <c:pt idx="1">
                  <c:v>1</c:v>
                </c:pt>
              </c:numCache>
            </c:numRef>
          </c:val>
          <c:smooth val="0"/>
          <c:extLst>
            <c:ext xmlns:c16="http://schemas.microsoft.com/office/drawing/2014/chart" uri="{C3380CC4-5D6E-409C-BE32-E72D297353CC}">
              <c16:uniqueId val="{00000001-374F-43E2-B234-7CF3A2283BC3}"/>
            </c:ext>
          </c:extLst>
        </c:ser>
        <c:dLbls>
          <c:showLegendKey val="0"/>
          <c:showVal val="0"/>
          <c:showCatName val="0"/>
          <c:showSerName val="0"/>
          <c:showPercent val="0"/>
          <c:showBubbleSize val="0"/>
        </c:dLbls>
        <c:marker val="1"/>
        <c:smooth val="0"/>
        <c:axId val="1668334559"/>
        <c:axId val="1668328735"/>
      </c:lineChart>
      <c:catAx>
        <c:axId val="166833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28735"/>
        <c:crosses val="autoZero"/>
        <c:auto val="1"/>
        <c:lblAlgn val="ctr"/>
        <c:lblOffset val="100"/>
        <c:noMultiLvlLbl val="0"/>
      </c:catAx>
      <c:valAx>
        <c:axId val="166832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3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466725</xdr:colOff>
      <xdr:row>1</xdr:row>
      <xdr:rowOff>80962</xdr:rowOff>
    </xdr:from>
    <xdr:to>
      <xdr:col>19</xdr:col>
      <xdr:colOff>161925</xdr:colOff>
      <xdr:row>15</xdr:row>
      <xdr:rowOff>157162</xdr:rowOff>
    </xdr:to>
    <xdr:graphicFrame macro="">
      <xdr:nvGraphicFramePr>
        <xdr:cNvPr id="2" name="Chart 1">
          <a:extLst>
            <a:ext uri="{FF2B5EF4-FFF2-40B4-BE49-F238E27FC236}">
              <a16:creationId xmlns:a16="http://schemas.microsoft.com/office/drawing/2014/main" id="{F5EB6AE3-50BE-D7F2-3B94-44010432B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257175</xdr:colOff>
      <xdr:row>20</xdr:row>
      <xdr:rowOff>166687</xdr:rowOff>
    </xdr:from>
    <xdr:to>
      <xdr:col>18</xdr:col>
      <xdr:colOff>561975</xdr:colOff>
      <xdr:row>35</xdr:row>
      <xdr:rowOff>52387</xdr:rowOff>
    </xdr:to>
    <xdr:graphicFrame macro="">
      <xdr:nvGraphicFramePr>
        <xdr:cNvPr id="3" name="Chart 2">
          <a:extLst>
            <a:ext uri="{FF2B5EF4-FFF2-40B4-BE49-F238E27FC236}">
              <a16:creationId xmlns:a16="http://schemas.microsoft.com/office/drawing/2014/main" id="{76A4FE90-E1F7-BBC4-903B-0A635E460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219075</xdr:colOff>
      <xdr:row>38</xdr:row>
      <xdr:rowOff>33337</xdr:rowOff>
    </xdr:from>
    <xdr:to>
      <xdr:col>18</xdr:col>
      <xdr:colOff>523875</xdr:colOff>
      <xdr:row>52</xdr:row>
      <xdr:rowOff>109537</xdr:rowOff>
    </xdr:to>
    <xdr:graphicFrame macro="">
      <xdr:nvGraphicFramePr>
        <xdr:cNvPr id="4" name="Chart 3">
          <a:extLst>
            <a:ext uri="{FF2B5EF4-FFF2-40B4-BE49-F238E27FC236}">
              <a16:creationId xmlns:a16="http://schemas.microsoft.com/office/drawing/2014/main" id="{B3B1DA47-697F-6CC8-CE6E-E27C0048E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209550</xdr:colOff>
      <xdr:row>6</xdr:row>
      <xdr:rowOff>19707</xdr:rowOff>
    </xdr:from>
    <xdr:to>
      <xdr:col>9</xdr:col>
      <xdr:colOff>47625</xdr:colOff>
      <xdr:row>18</xdr:row>
      <xdr:rowOff>151086</xdr:rowOff>
    </xdr:to>
    <xdr:graphicFrame macro="">
      <xdr:nvGraphicFramePr>
        <xdr:cNvPr id="2" name="Chart 1">
          <a:extLst>
            <a:ext uri="{FF2B5EF4-FFF2-40B4-BE49-F238E27FC236}">
              <a16:creationId xmlns:a16="http://schemas.microsoft.com/office/drawing/2014/main" id="{C9D593C6-FCFE-4CFB-A0CF-71E05000C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208235</xdr:colOff>
      <xdr:row>18</xdr:row>
      <xdr:rowOff>182289</xdr:rowOff>
    </xdr:from>
    <xdr:to>
      <xdr:col>15</xdr:col>
      <xdr:colOff>26276</xdr:colOff>
      <xdr:row>33</xdr:row>
      <xdr:rowOff>67989</xdr:rowOff>
    </xdr:to>
    <xdr:graphicFrame macro="">
      <xdr:nvGraphicFramePr>
        <xdr:cNvPr id="3" name="Chart 2">
          <a:extLst>
            <a:ext uri="{FF2B5EF4-FFF2-40B4-BE49-F238E27FC236}">
              <a16:creationId xmlns:a16="http://schemas.microsoft.com/office/drawing/2014/main" id="{7C529D17-2C2B-4703-BD53-BB6CA4364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73901</xdr:colOff>
      <xdr:row>6</xdr:row>
      <xdr:rowOff>22663</xdr:rowOff>
    </xdr:from>
    <xdr:to>
      <xdr:col>15</xdr:col>
      <xdr:colOff>26276</xdr:colOff>
      <xdr:row>18</xdr:row>
      <xdr:rowOff>151086</xdr:rowOff>
    </xdr:to>
    <xdr:graphicFrame macro="">
      <xdr:nvGraphicFramePr>
        <xdr:cNvPr id="4" name="Chart 3">
          <a:extLst>
            <a:ext uri="{FF2B5EF4-FFF2-40B4-BE49-F238E27FC236}">
              <a16:creationId xmlns:a16="http://schemas.microsoft.com/office/drawing/2014/main" id="{A3824CD2-E40F-4632-A5CC-F70DD6197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20692</xdr:colOff>
      <xdr:row>6</xdr:row>
      <xdr:rowOff>21022</xdr:rowOff>
    </xdr:from>
    <xdr:to>
      <xdr:col>2</xdr:col>
      <xdr:colOff>197069</xdr:colOff>
      <xdr:row>10</xdr:row>
      <xdr:rowOff>157656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6E5894E-DD65-CF41-010A-A345E3FC410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0692" y="1164022"/>
              <a:ext cx="1398205" cy="898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32188</xdr:colOff>
      <xdr:row>22</xdr:row>
      <xdr:rowOff>157327</xdr:rowOff>
    </xdr:from>
    <xdr:to>
      <xdr:col>2</xdr:col>
      <xdr:colOff>197069</xdr:colOff>
      <xdr:row>33</xdr:row>
      <xdr:rowOff>52552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5B9C0C4-3C02-D7EC-591C-01EF798C625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2188" y="4348327"/>
              <a:ext cx="1386709"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22334</xdr:colOff>
      <xdr:row>10</xdr:row>
      <xdr:rowOff>186887</xdr:rowOff>
    </xdr:from>
    <xdr:to>
      <xdr:col>2</xdr:col>
      <xdr:colOff>197069</xdr:colOff>
      <xdr:row>22</xdr:row>
      <xdr:rowOff>137948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E8540C7-F6C8-CA28-5BA8-F3632A4A20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334" y="2091887"/>
              <a:ext cx="1396563" cy="2237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visTaylor" refreshedDate="44886.019403356484" createdVersion="8" refreshedVersion="8" minRefreshableVersion="3" recordCount="1000" xr:uid="{B202A539-012E-49FD-96EA-7DBAC070E3A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d"/>
        <s v="Old"/>
        <s v="Adolescent"/>
        <s v="Adolescent(0 - 30)" u="1"/>
        <s v="Middle Aged (31 - 54)" u="1"/>
        <s v="Old (54+)" u="1"/>
      </sharedItems>
    </cacheField>
    <cacheField name="Purchased Bike" numFmtId="0">
      <sharedItems count="2">
        <s v="No"/>
        <s v="Yes"/>
      </sharedItems>
    </cacheField>
  </cacheFields>
  <extLst>
    <ext xmlns:x14="http://schemas.microsoft.com/office/spreadsheetml/2009/9/main" uri="{725AE2AE-9491-48be-B2B4-4EB974FC3084}">
      <x14:pivotCacheDefinition pivotCacheId="717650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B148C-0B07-4D21-BDD6-FE96D27B4DE2}"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5"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7">
        <item x="2"/>
        <item x="0"/>
        <item x="1"/>
        <item m="1" x="4"/>
        <item m="1" x="5"/>
        <item m="1" x="3"/>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C72C66-30B9-4666-BFBC-B0893FD5930D}"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6"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dataField="1" showAll="0"/>
    <pivotField axis="axisCol"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Age Brackets" fld="12"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A0D937-892A-4F20-8E94-C6251B609911}" name="PivotTable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8"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6"/>
  </dataFields>
  <formats count="1">
    <format dxfId="4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F086FAB-C5AA-4F06-A399-9163B6751BD9}" sourceName="Marital Status">
  <pivotTables>
    <pivotTable tabId="3" name="PivotTable1"/>
    <pivotTable tabId="3" name="PivotTable2"/>
    <pivotTable tabId="3" name="PivotTable3"/>
  </pivotTables>
  <data>
    <tabular pivotCacheId="71765036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8A78810-40C2-402D-B1C1-3BD4DB997A61}" sourceName="Education">
  <pivotTables>
    <pivotTable tabId="3" name="PivotTable1"/>
    <pivotTable tabId="3" name="PivotTable2"/>
    <pivotTable tabId="3" name="PivotTable3"/>
  </pivotTables>
  <data>
    <tabular pivotCacheId="71765036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2F7F49-1A79-4982-9385-018D7D951A19}" sourceName="Region">
  <pivotTables>
    <pivotTable tabId="3" name="PivotTable1"/>
    <pivotTable tabId="3" name="PivotTable2"/>
    <pivotTable tabId="3" name="PivotTable3"/>
  </pivotTables>
  <data>
    <tabular pivotCacheId="71765036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13B677D-A13F-4017-A39D-54812E8ADCF7}" cache="Slicer_Marital_Status" caption="Marital Status" rowHeight="241300"/>
  <slicer name="Education" xr10:uid="{73EEC483-489F-418E-9458-B2EA44751D4E}" cache="Slicer_Education" caption="Education" rowHeight="241300"/>
  <slicer name="Region" xr10:uid="{E27BDE61-41A1-4EE7-89F7-2916F848D39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FF6EB-0644-48AB-99A9-6BAA034C279B}">
  <dimension ref="A1:N1001"/>
  <sheetViews>
    <sheetView workbookViewId="0">
      <selection activeCell="M2" sqref="M2:M1001"/>
    </sheetView>
  </sheetViews>
  <sheetFormatPr defaultColWidth="19" defaultRowHeight="15" x14ac:dyDescent="0.25"/>
  <cols>
    <col min="4" max="4" width="19" style="3"/>
    <col min="10" max="10" width="20.5703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 "Old",IF(L2&gt;=31,"Middle Aged",IF(L2&lt;31,"Adolescent","Invalid")))</f>
        <v>Middle Aged</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"Old",IF(L3&gt;=31,"Middle Aged",IF(L3&lt;31,"Adolescent","Invalid")))</f>
        <v>Middle Aged</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Aged</v>
      </c>
      <c r="N5" t="s">
        <v>15</v>
      </c>
    </row>
    <row r="6" spans="1:14" x14ac:dyDescent="0.25">
      <c r="A6">
        <v>25597</v>
      </c>
      <c r="B6" t="s">
        <v>37</v>
      </c>
      <c r="C6" t="s">
        <v>38</v>
      </c>
      <c r="D6" s="3">
        <v>30000</v>
      </c>
      <c r="E6">
        <v>0</v>
      </c>
      <c r="F6" t="s">
        <v>13</v>
      </c>
      <c r="G6" t="s">
        <v>20</v>
      </c>
      <c r="H6" t="s">
        <v>18</v>
      </c>
      <c r="I6">
        <v>0</v>
      </c>
      <c r="J6" t="s">
        <v>16</v>
      </c>
      <c r="K6" t="s">
        <v>17</v>
      </c>
      <c r="L6">
        <v>36</v>
      </c>
      <c r="M6" t="str">
        <f t="shared" si="0"/>
        <v>Middle Aged</v>
      </c>
      <c r="N6" t="s">
        <v>15</v>
      </c>
    </row>
    <row r="7" spans="1:14" x14ac:dyDescent="0.25">
      <c r="A7">
        <v>13507</v>
      </c>
      <c r="B7" t="s">
        <v>36</v>
      </c>
      <c r="C7" t="s">
        <v>39</v>
      </c>
      <c r="D7" s="3">
        <v>10000</v>
      </c>
      <c r="E7">
        <v>2</v>
      </c>
      <c r="F7" t="s">
        <v>19</v>
      </c>
      <c r="G7" t="s">
        <v>25</v>
      </c>
      <c r="H7" t="s">
        <v>15</v>
      </c>
      <c r="I7">
        <v>0</v>
      </c>
      <c r="J7" t="s">
        <v>26</v>
      </c>
      <c r="K7" t="s">
        <v>17</v>
      </c>
      <c r="L7">
        <v>50</v>
      </c>
      <c r="M7" t="str">
        <f t="shared" si="0"/>
        <v>Middle Aged</v>
      </c>
      <c r="N7" t="s">
        <v>18</v>
      </c>
    </row>
    <row r="8" spans="1:14" x14ac:dyDescent="0.25">
      <c r="A8">
        <v>27974</v>
      </c>
      <c r="B8" t="s">
        <v>37</v>
      </c>
      <c r="C8" t="s">
        <v>38</v>
      </c>
      <c r="D8" s="3">
        <v>160000</v>
      </c>
      <c r="E8">
        <v>2</v>
      </c>
      <c r="F8" t="s">
        <v>27</v>
      </c>
      <c r="G8" t="s">
        <v>28</v>
      </c>
      <c r="H8" t="s">
        <v>15</v>
      </c>
      <c r="I8">
        <v>4</v>
      </c>
      <c r="J8" t="s">
        <v>16</v>
      </c>
      <c r="K8" t="s">
        <v>24</v>
      </c>
      <c r="L8">
        <v>33</v>
      </c>
      <c r="M8" t="str">
        <f t="shared" si="0"/>
        <v>Middle Aged</v>
      </c>
      <c r="N8" t="s">
        <v>15</v>
      </c>
    </row>
    <row r="9" spans="1:14" x14ac:dyDescent="0.25">
      <c r="A9">
        <v>19364</v>
      </c>
      <c r="B9" t="s">
        <v>36</v>
      </c>
      <c r="C9" t="s">
        <v>38</v>
      </c>
      <c r="D9" s="3">
        <v>40000</v>
      </c>
      <c r="E9">
        <v>1</v>
      </c>
      <c r="F9" t="s">
        <v>13</v>
      </c>
      <c r="G9" t="s">
        <v>14</v>
      </c>
      <c r="H9" t="s">
        <v>15</v>
      </c>
      <c r="I9">
        <v>0</v>
      </c>
      <c r="J9" t="s">
        <v>16</v>
      </c>
      <c r="K9" t="s">
        <v>17</v>
      </c>
      <c r="L9">
        <v>43</v>
      </c>
      <c r="M9" t="str">
        <f t="shared" si="0"/>
        <v>Middle Aged</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"Old",IF(L67&gt;=31,"Middle Aged",IF(L67&lt;31,"Adolescent","Invalid")))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"Old",IF(L131&gt;=31,"Middle Aged",IF(L131&lt;31,"Adolescent","Invalid")))</f>
        <v>Middle Aged</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 "Old",IF(L195&gt;=31,"Middle Aged",IF(L195&lt;31,"Adolescent","Invalid")))</f>
        <v>Middle Aged</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"Old",IF(L259&gt;=31,"Middle Aged",IF(L259&lt;31,"Adolescent","Invalid")))</f>
        <v>Middle Aged</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"Old",IF(L323&gt;=31,"Middle Aged",IF(L323&lt;31,"Adolescent","Invalid")))</f>
        <v>Middle Aged</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"Old",IF(L387&gt;=31,"Middle Aged",IF(L387&lt;31,"Adolescent","Invalid")))</f>
        <v>Middle Aged</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"Old",IF(L451&gt;=31,"Middle Aged",IF(L451&lt;31,"Adolescent","Invalid")))</f>
        <v>Middle Aged</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 "Old",IF(L515&gt;=31,"Middle Aged",IF(L515&lt;31,"Adolescent","Invalid")))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"Old",IF(L579&gt;=31,"Middle Aged",IF(L579&lt;31,"Adolescent","Invalid")))</f>
        <v>Middle Aged</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 "Old",IF(L643&gt;=31,"Middle Aged",IF(L643&lt;31,"Adolescent","Invalid")))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 "Old",IF(L707&gt;=31,"Middle Aged",IF(L707&lt;31,"Adolescent","Invalid")))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 "Old",IF(L771&gt;=31,"Middle Aged",IF(L771&lt;31,"Adolescent","Invalid")))</f>
        <v>Middle Aged</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 "Old",IF(L835&gt;=31,"Middle Aged",IF(L835&lt;31,"Adolescent","Invalid")))</f>
        <v>Middle Aged</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 "Old",IF(L899&gt;=31,"Middle Aged",IF(L899&lt;31,"Adolescent","Invalid")))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 "Old",IF(L963&gt;=31,"Middle Aged",IF(L963&lt;31,"Adolescent","Invalid")))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autoFilter ref="A1:N1001" xr:uid="{389FF6EB-0644-48AB-99A9-6BAA034C279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EC41-133D-4220-85F2-FC79E2F0FCA7}">
  <dimension ref="A3:D45"/>
  <sheetViews>
    <sheetView workbookViewId="0">
      <selection activeCell="M62" sqref="M6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39</v>
      </c>
      <c r="B5" s="7">
        <v>66666.666666666672</v>
      </c>
      <c r="C5" s="7">
        <v>35000</v>
      </c>
      <c r="D5" s="7">
        <v>48571.428571428572</v>
      </c>
    </row>
    <row r="6" spans="1:4" x14ac:dyDescent="0.25">
      <c r="A6" s="6" t="s">
        <v>38</v>
      </c>
      <c r="B6" s="7">
        <v>22500</v>
      </c>
      <c r="C6" s="7">
        <v>33333.333333333336</v>
      </c>
      <c r="D6" s="7">
        <v>30000</v>
      </c>
    </row>
    <row r="7" spans="1:4" x14ac:dyDescent="0.25">
      <c r="A7" s="6" t="s">
        <v>42</v>
      </c>
      <c r="B7" s="7">
        <v>41428.571428571428</v>
      </c>
      <c r="C7" s="7">
        <v>33846.153846153844</v>
      </c>
      <c r="D7" s="7">
        <v>36500</v>
      </c>
    </row>
    <row r="20" spans="1:4" x14ac:dyDescent="0.25">
      <c r="A20" s="5" t="s">
        <v>45</v>
      </c>
      <c r="B20" s="5" t="s">
        <v>44</v>
      </c>
    </row>
    <row r="21" spans="1:4" x14ac:dyDescent="0.25">
      <c r="A21" s="5" t="s">
        <v>41</v>
      </c>
      <c r="B21" t="s">
        <v>18</v>
      </c>
      <c r="C21" t="s">
        <v>15</v>
      </c>
      <c r="D21" t="s">
        <v>42</v>
      </c>
    </row>
    <row r="22" spans="1:4" x14ac:dyDescent="0.25">
      <c r="A22" s="6" t="s">
        <v>16</v>
      </c>
      <c r="B22" s="4">
        <v>3</v>
      </c>
      <c r="C22" s="4">
        <v>11</v>
      </c>
      <c r="D22" s="4">
        <v>14</v>
      </c>
    </row>
    <row r="23" spans="1:4" x14ac:dyDescent="0.25">
      <c r="A23" s="6" t="s">
        <v>26</v>
      </c>
      <c r="B23" s="4">
        <v>1</v>
      </c>
      <c r="C23" s="4">
        <v>2</v>
      </c>
      <c r="D23" s="4">
        <v>3</v>
      </c>
    </row>
    <row r="24" spans="1:4" x14ac:dyDescent="0.25">
      <c r="A24" s="6" t="s">
        <v>22</v>
      </c>
      <c r="B24" s="4">
        <v>1</v>
      </c>
      <c r="C24" s="4"/>
      <c r="D24" s="4">
        <v>1</v>
      </c>
    </row>
    <row r="25" spans="1:4" x14ac:dyDescent="0.25">
      <c r="A25" s="6" t="s">
        <v>46</v>
      </c>
      <c r="B25" s="4">
        <v>2</v>
      </c>
      <c r="C25" s="4"/>
      <c r="D25" s="4">
        <v>2</v>
      </c>
    </row>
    <row r="26" spans="1:4" x14ac:dyDescent="0.25">
      <c r="A26" s="6" t="s">
        <v>42</v>
      </c>
      <c r="B26" s="4">
        <v>7</v>
      </c>
      <c r="C26" s="4">
        <v>13</v>
      </c>
      <c r="D26" s="4">
        <v>20</v>
      </c>
    </row>
    <row r="41" spans="1:4" x14ac:dyDescent="0.25">
      <c r="A41" s="5" t="s">
        <v>49</v>
      </c>
      <c r="B41" s="5" t="s">
        <v>44</v>
      </c>
    </row>
    <row r="42" spans="1:4" x14ac:dyDescent="0.25">
      <c r="A42" s="5" t="s">
        <v>41</v>
      </c>
      <c r="B42" t="s">
        <v>18</v>
      </c>
      <c r="C42" t="s">
        <v>15</v>
      </c>
      <c r="D42" t="s">
        <v>42</v>
      </c>
    </row>
    <row r="43" spans="1:4" x14ac:dyDescent="0.25">
      <c r="A43" s="6" t="s">
        <v>47</v>
      </c>
      <c r="B43" s="4">
        <v>4</v>
      </c>
      <c r="C43" s="4">
        <v>12</v>
      </c>
      <c r="D43" s="4">
        <v>16</v>
      </c>
    </row>
    <row r="44" spans="1:4" x14ac:dyDescent="0.25">
      <c r="A44" s="6" t="s">
        <v>48</v>
      </c>
      <c r="B44" s="4">
        <v>3</v>
      </c>
      <c r="C44" s="4">
        <v>1</v>
      </c>
      <c r="D44" s="4">
        <v>4</v>
      </c>
    </row>
    <row r="45" spans="1:4" x14ac:dyDescent="0.25">
      <c r="A45" s="6" t="s">
        <v>42</v>
      </c>
      <c r="B45" s="4">
        <v>7</v>
      </c>
      <c r="C45" s="4">
        <v>13</v>
      </c>
      <c r="D45" s="4">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D95F-DA04-4333-83F9-E8A25A9171C9}">
  <dimension ref="A1:O6"/>
  <sheetViews>
    <sheetView showGridLines="0" tabSelected="1" zoomScale="145" zoomScaleNormal="145" workbookViewId="0">
      <selection activeCell="F36" sqref="F36"/>
    </sheetView>
  </sheetViews>
  <sheetFormatPr defaultRowHeight="15" x14ac:dyDescent="0.25"/>
  <sheetData>
    <row r="1" spans="1:15" x14ac:dyDescent="0.25">
      <c r="A1" s="8"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TravisTaylor</dc:creator>
  <cp:lastModifiedBy>TravisTaylor</cp:lastModifiedBy>
  <dcterms:created xsi:type="dcterms:W3CDTF">2022-03-18T02:50:57Z</dcterms:created>
  <dcterms:modified xsi:type="dcterms:W3CDTF">2022-11-21T05:43:32Z</dcterms:modified>
</cp:coreProperties>
</file>